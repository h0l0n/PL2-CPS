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ime/Downloads/"/>
    </mc:Choice>
  </mc:AlternateContent>
  <xr:revisionPtr revIDLastSave="0" documentId="13_ncr:1_{F0E51C56-ED2E-1D41-8D80-597737FE707F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a) Indicadores básicos" sheetId="1" r:id="rId1"/>
    <sheet name="b) Periodo de control" sheetId="2" r:id="rId2"/>
    <sheet name="c) Curva de fiabilida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1" i="2"/>
  <c r="D16" i="2"/>
  <c r="D15" i="2"/>
  <c r="D14" i="2"/>
  <c r="D13" i="2"/>
  <c r="D12" i="2"/>
  <c r="D11" i="2"/>
  <c r="D10" i="2"/>
  <c r="D9" i="2"/>
  <c r="B22" i="2" s="1"/>
  <c r="D8" i="2"/>
  <c r="D7" i="2"/>
  <c r="B14" i="1"/>
  <c r="B12" i="1"/>
  <c r="B17" i="1" s="1"/>
  <c r="B11" i="1"/>
  <c r="B15" i="1" s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16" i="1" l="1"/>
  <c r="B29" i="2"/>
  <c r="B3" i="3" s="1"/>
  <c r="B5" i="3" s="1"/>
  <c r="B28" i="2"/>
  <c r="B23" i="2"/>
  <c r="B18" i="1"/>
  <c r="B13" i="1"/>
  <c r="B26" i="2" l="1"/>
  <c r="B27" i="2" s="1"/>
  <c r="B24" i="2"/>
  <c r="B18" i="3"/>
  <c r="C18" i="3" s="1"/>
  <c r="B14" i="3"/>
  <c r="C14" i="3" s="1"/>
  <c r="B10" i="3"/>
  <c r="C10" i="3" s="1"/>
  <c r="B17" i="3"/>
  <c r="C17" i="3" s="1"/>
  <c r="B13" i="3"/>
  <c r="C13" i="3" s="1"/>
  <c r="B9" i="3"/>
  <c r="C9" i="3" s="1"/>
  <c r="B11" i="3"/>
  <c r="C11" i="3" s="1"/>
  <c r="B16" i="3"/>
  <c r="C16" i="3" s="1"/>
  <c r="B12" i="3"/>
  <c r="C12" i="3" s="1"/>
  <c r="B8" i="3"/>
  <c r="C8" i="3" s="1"/>
  <c r="B15" i="3"/>
  <c r="C15" i="3" s="1"/>
</calcChain>
</file>

<file path=xl/sharedStrings.xml><?xml version="1.0" encoding="utf-8"?>
<sst xmlns="http://schemas.openxmlformats.org/spreadsheetml/2006/main" count="78" uniqueCount="45">
  <si>
    <t>Parte 2.a — Indicadores básicos de fiabilidad (20 unidades de tiempo)</t>
  </si>
  <si>
    <t>Tiempo</t>
  </si>
  <si>
    <t>Sistema en marcha</t>
  </si>
  <si>
    <t>Sistema caído</t>
  </si>
  <si>
    <t>Indicador</t>
  </si>
  <si>
    <t>Valor</t>
  </si>
  <si>
    <t>Uptime</t>
  </si>
  <si>
    <t>Downtime</t>
  </si>
  <si>
    <t>Disponibilidad</t>
  </si>
  <si>
    <t>Número acumulado de fallos</t>
  </si>
  <si>
    <t>MTTF</t>
  </si>
  <si>
    <t>MTBF</t>
  </si>
  <si>
    <t>MTTR</t>
  </si>
  <si>
    <t>Probabilidad de fallo</t>
  </si>
  <si>
    <t>Leyenda:</t>
  </si>
  <si>
    <t>Parte 2.b — Indicadores con periodo de control y unidades mixtas</t>
  </si>
  <si>
    <t>Test period</t>
  </si>
  <si>
    <t>weeks</t>
  </si>
  <si>
    <t>Tabla de conversión a días</t>
  </si>
  <si>
    <t>Unidad</t>
  </si>
  <si>
    <t>Factor (a días)</t>
  </si>
  <si>
    <t>minutes</t>
  </si>
  <si>
    <t>En días</t>
  </si>
  <si>
    <t>hours</t>
  </si>
  <si>
    <t>Downtime 1</t>
  </si>
  <si>
    <t>days</t>
  </si>
  <si>
    <t>Downtime 2</t>
  </si>
  <si>
    <t>Downtime 3</t>
  </si>
  <si>
    <t>Downtime 4</t>
  </si>
  <si>
    <t>Downtime 5</t>
  </si>
  <si>
    <t>Downtime 6</t>
  </si>
  <si>
    <t>Downtime 7</t>
  </si>
  <si>
    <t>Downtime 8</t>
  </si>
  <si>
    <t>Downtime 9</t>
  </si>
  <si>
    <t>Downtime 10</t>
  </si>
  <si>
    <t>Mostrar resultados en:</t>
  </si>
  <si>
    <t>Test period (días)</t>
  </si>
  <si>
    <t>Número de fallos</t>
  </si>
  <si>
    <t>Parte 2.c — Curva de fiabilidad R(t) = e^(-λ·t)  (10 semanas)</t>
  </si>
  <si>
    <t>λ (probabilidad de fallo)</t>
  </si>
  <si>
    <t>Override manual de λ</t>
  </si>
  <si>
    <t>λ efectiva utilizada</t>
  </si>
  <si>
    <t>Tiempo (semanas)</t>
  </si>
  <si>
    <t>R(t)</t>
  </si>
  <si>
    <t>F(t) = 1 - R(t)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</si>
</sst>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  <font>
      <sz val="11"/>
      <name val="Arial"/>
      <charset val="1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70AD47"/>
        <bgColor rgb="FF878787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DEBF7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2" fontId="7" fillId="8" borderId="1" xfId="0" applyNumberFormat="1" applyFont="1" applyFill="1" applyBorder="1" applyAlignment="1">
      <alignment horizontal="center" vertical="center"/>
    </xf>
    <xf numFmtId="10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0" fontId="7" fillId="8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9" fillId="5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Curva de fiabilidad R(t)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'c) Curva de fiabilidad'!$B$7</c:f>
              <c:strCache>
                <c:ptCount val="1"/>
                <c:pt idx="0">
                  <c:v>R(t)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'c) Curva de fiabilidad'!$A$8:$A$18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'c) Curva de fiabilidad'!$B$8:$B$18</c:f>
              <c:numCache>
                <c:formatCode>0.0000</c:formatCode>
                <c:ptCount val="11"/>
                <c:pt idx="0">
                  <c:v>1</c:v>
                </c:pt>
                <c:pt idx="1">
                  <c:v>0.42705466453108282</c:v>
                </c:pt>
                <c:pt idx="2">
                  <c:v>0.18237568649775565</c:v>
                </c:pt>
                <c:pt idx="3">
                  <c:v>7.7884387615924977E-2</c:v>
                </c:pt>
                <c:pt idx="4">
                  <c:v>3.3260891025527657E-2</c:v>
                </c:pt>
                <c:pt idx="5">
                  <c:v>1.4204218658911614E-2</c:v>
                </c:pt>
                <c:pt idx="6">
                  <c:v>6.0659778343076483E-3</c:v>
                </c:pt>
                <c:pt idx="7">
                  <c:v>2.5905041290832354E-3</c:v>
                </c:pt>
                <c:pt idx="8">
                  <c:v>1.1062868718120262E-3</c:v>
                </c:pt>
                <c:pt idx="9">
                  <c:v>4.7244496891682598E-4</c:v>
                </c:pt>
                <c:pt idx="10">
                  <c:v>2.0175982771017284E-4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C4-5045-A58A-846CBE385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092161"/>
        <c:axId val="49510962"/>
      </c:lineChart>
      <c:catAx>
        <c:axId val="92092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Tiempo (semanas)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510962"/>
        <c:crosses val="autoZero"/>
        <c:auto val="1"/>
        <c:lblAlgn val="ctr"/>
        <c:lblOffset val="100"/>
        <c:noMultiLvlLbl val="0"/>
      </c:catAx>
      <c:valAx>
        <c:axId val="49510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Probabilidad de supervivencia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092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6</xdr:col>
      <xdr:colOff>236520</xdr:colOff>
      <xdr:row>38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"/>
  <sheetViews>
    <sheetView tabSelected="1" zoomScaleNormal="100" workbookViewId="0">
      <selection activeCell="H15" sqref="H1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12" customWidth="1"/>
    <col min="4" max="21" width="5" customWidth="1"/>
  </cols>
  <sheetData>
    <row r="1" spans="1:22" ht="25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5" spans="1:22" x14ac:dyDescent="0.2">
      <c r="A5" s="8" t="s">
        <v>1</v>
      </c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  <c r="N5" s="9">
        <v>13</v>
      </c>
      <c r="O5" s="9">
        <v>14</v>
      </c>
      <c r="P5" s="9">
        <v>15</v>
      </c>
      <c r="Q5" s="9">
        <v>16</v>
      </c>
      <c r="R5" s="9">
        <v>17</v>
      </c>
      <c r="S5" s="9">
        <v>18</v>
      </c>
      <c r="T5" s="9">
        <v>19</v>
      </c>
      <c r="U5" s="9">
        <v>20</v>
      </c>
    </row>
    <row r="6" spans="1:22" ht="21.75" customHeight="1" x14ac:dyDescent="0.2">
      <c r="A6" s="10" t="s">
        <v>2</v>
      </c>
      <c r="B6" s="11">
        <v>1</v>
      </c>
      <c r="C6" s="11">
        <v>1</v>
      </c>
      <c r="D6" s="11">
        <v>1</v>
      </c>
      <c r="E6" s="12">
        <v>0</v>
      </c>
      <c r="F6" s="12">
        <v>0</v>
      </c>
      <c r="G6" s="11">
        <v>1</v>
      </c>
      <c r="H6" s="11">
        <v>1</v>
      </c>
      <c r="I6" s="11">
        <v>1</v>
      </c>
      <c r="J6" s="11">
        <v>1</v>
      </c>
      <c r="K6" s="12">
        <v>0</v>
      </c>
      <c r="L6" s="11">
        <v>1</v>
      </c>
      <c r="M6" s="11">
        <v>1</v>
      </c>
      <c r="N6" s="12">
        <v>0</v>
      </c>
      <c r="O6" s="12">
        <v>0</v>
      </c>
      <c r="P6" s="12">
        <v>0</v>
      </c>
      <c r="Q6" s="11">
        <v>1</v>
      </c>
      <c r="R6" s="11">
        <v>1</v>
      </c>
      <c r="S6" s="11">
        <v>1</v>
      </c>
      <c r="T6" s="11">
        <v>1</v>
      </c>
      <c r="U6" s="12">
        <v>0</v>
      </c>
    </row>
    <row r="7" spans="1:22" ht="21.75" customHeight="1" x14ac:dyDescent="0.2">
      <c r="A7" s="10" t="s">
        <v>3</v>
      </c>
      <c r="B7" s="12">
        <f t="shared" ref="B7:U7" si="0">1-B6</f>
        <v>0</v>
      </c>
      <c r="C7" s="12">
        <f t="shared" si="0"/>
        <v>0</v>
      </c>
      <c r="D7" s="12">
        <f t="shared" si="0"/>
        <v>0</v>
      </c>
      <c r="E7" s="13">
        <f t="shared" si="0"/>
        <v>1</v>
      </c>
      <c r="F7" s="13">
        <f t="shared" si="0"/>
        <v>1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3">
        <f t="shared" si="0"/>
        <v>1</v>
      </c>
      <c r="L7" s="12">
        <f t="shared" si="0"/>
        <v>0</v>
      </c>
      <c r="M7" s="12">
        <f t="shared" si="0"/>
        <v>0</v>
      </c>
      <c r="N7" s="13">
        <f t="shared" si="0"/>
        <v>1</v>
      </c>
      <c r="O7" s="13">
        <f t="shared" si="0"/>
        <v>1</v>
      </c>
      <c r="P7" s="13">
        <f t="shared" si="0"/>
        <v>1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3">
        <f t="shared" si="0"/>
        <v>1</v>
      </c>
    </row>
    <row r="10" spans="1:22" x14ac:dyDescent="0.2">
      <c r="A10" s="8" t="s">
        <v>4</v>
      </c>
      <c r="B10" s="5" t="s">
        <v>5</v>
      </c>
      <c r="C10" s="5"/>
    </row>
    <row r="11" spans="1:22" x14ac:dyDescent="0.2">
      <c r="A11" s="10" t="s">
        <v>6</v>
      </c>
      <c r="B11" s="4">
        <f>SUM(B6:U6)</f>
        <v>13</v>
      </c>
      <c r="C11" s="4"/>
    </row>
    <row r="12" spans="1:22" x14ac:dyDescent="0.2">
      <c r="A12" s="10" t="s">
        <v>7</v>
      </c>
      <c r="B12" s="4">
        <f>SUM(B7:U7)</f>
        <v>7</v>
      </c>
      <c r="C12" s="4"/>
    </row>
    <row r="13" spans="1:22" x14ac:dyDescent="0.2">
      <c r="A13" s="10" t="s">
        <v>8</v>
      </c>
      <c r="B13" s="3">
        <f>B11/(B11+B12)</f>
        <v>0.65</v>
      </c>
      <c r="C13" s="3"/>
    </row>
    <row r="14" spans="1:22" x14ac:dyDescent="0.2">
      <c r="A14" s="10" t="s">
        <v>9</v>
      </c>
      <c r="B14" s="4">
        <f>SUMPRODUCT((B6:T6=1)*(C6:U6=0))</f>
        <v>4</v>
      </c>
      <c r="C14" s="4"/>
    </row>
    <row r="15" spans="1:22" x14ac:dyDescent="0.2">
      <c r="A15" s="10" t="s">
        <v>10</v>
      </c>
      <c r="B15" s="2">
        <f>IFERROR(B11/B14,0)</f>
        <v>3.25</v>
      </c>
      <c r="C15" s="2"/>
    </row>
    <row r="16" spans="1:22" x14ac:dyDescent="0.2">
      <c r="A16" s="10" t="s">
        <v>11</v>
      </c>
      <c r="B16" s="2">
        <f>B15+B17</f>
        <v>5</v>
      </c>
      <c r="C16" s="2"/>
    </row>
    <row r="17" spans="1:7" x14ac:dyDescent="0.2">
      <c r="A17" s="10" t="s">
        <v>12</v>
      </c>
      <c r="B17" s="2">
        <f>IFERROR(B12/B14,0)</f>
        <v>1.75</v>
      </c>
      <c r="C17" s="2"/>
    </row>
    <row r="18" spans="1:7" x14ac:dyDescent="0.2">
      <c r="A18" s="10" t="s">
        <v>13</v>
      </c>
      <c r="B18" s="3">
        <f>B12/(B11+B12)</f>
        <v>0.35</v>
      </c>
      <c r="C18" s="3"/>
    </row>
    <row r="21" spans="1:7" x14ac:dyDescent="0.2">
      <c r="A21" s="17" t="s">
        <v>14</v>
      </c>
      <c r="B21" s="24" t="s">
        <v>2</v>
      </c>
      <c r="C21" s="24"/>
      <c r="D21" s="24"/>
      <c r="E21" s="25" t="s">
        <v>3</v>
      </c>
      <c r="F21" s="25"/>
      <c r="G21" s="25"/>
    </row>
  </sheetData>
  <mergeCells count="13">
    <mergeCell ref="B18:C18"/>
    <mergeCell ref="B21:D21"/>
    <mergeCell ref="E21:G21"/>
    <mergeCell ref="B13:C13"/>
    <mergeCell ref="B14:C14"/>
    <mergeCell ref="B15:C15"/>
    <mergeCell ref="B16:C16"/>
    <mergeCell ref="B17:C17"/>
    <mergeCell ref="A1:V1"/>
    <mergeCell ref="A3:V3"/>
    <mergeCell ref="B10:C10"/>
    <mergeCell ref="B11:C11"/>
    <mergeCell ref="B12:C1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zoomScaleNormal="100" workbookViewId="0">
      <selection activeCell="E25" sqref="E2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4" width="14" customWidth="1"/>
    <col min="6" max="6" width="14" customWidth="1"/>
    <col min="7" max="7" width="16" customWidth="1"/>
  </cols>
  <sheetData>
    <row r="1" spans="1:7" ht="25.5" customHeight="1" x14ac:dyDescent="0.2">
      <c r="A1" s="7" t="s">
        <v>15</v>
      </c>
      <c r="B1" s="7"/>
      <c r="C1" s="7"/>
      <c r="D1" s="7"/>
    </row>
    <row r="3" spans="1:7" x14ac:dyDescent="0.2">
      <c r="A3" s="10" t="s">
        <v>16</v>
      </c>
      <c r="B3" s="18">
        <v>62</v>
      </c>
      <c r="C3" s="18" t="s">
        <v>17</v>
      </c>
      <c r="F3" s="1" t="s">
        <v>18</v>
      </c>
      <c r="G3" s="1"/>
    </row>
    <row r="4" spans="1:7" x14ac:dyDescent="0.2">
      <c r="F4" s="8" t="s">
        <v>19</v>
      </c>
      <c r="G4" s="8" t="s">
        <v>20</v>
      </c>
    </row>
    <row r="5" spans="1:7" x14ac:dyDescent="0.2">
      <c r="B5" s="6"/>
      <c r="C5" s="6"/>
      <c r="F5" s="19" t="s">
        <v>21</v>
      </c>
      <c r="G5" s="20">
        <v>6.9444444444444501E-4</v>
      </c>
    </row>
    <row r="6" spans="1:7" x14ac:dyDescent="0.2">
      <c r="A6" s="8" t="s">
        <v>7</v>
      </c>
      <c r="B6" s="8" t="s">
        <v>5</v>
      </c>
      <c r="C6" s="8" t="s">
        <v>19</v>
      </c>
      <c r="D6" s="8" t="s">
        <v>22</v>
      </c>
      <c r="F6" s="19" t="s">
        <v>23</v>
      </c>
      <c r="G6" s="20">
        <v>4.1666666666666699E-2</v>
      </c>
    </row>
    <row r="7" spans="1:7" x14ac:dyDescent="0.2">
      <c r="A7" s="10" t="s">
        <v>24</v>
      </c>
      <c r="B7" s="18">
        <v>1</v>
      </c>
      <c r="C7" s="18" t="s">
        <v>23</v>
      </c>
      <c r="D7" s="21">
        <f t="shared" ref="D7:D16" si="0">IF(B7="",0,B7*VLOOKUP(C7,$F$5:$G$8,2,FALSE()))</f>
        <v>4.1666666666666699E-2</v>
      </c>
      <c r="F7" s="19" t="s">
        <v>25</v>
      </c>
      <c r="G7" s="20">
        <v>1</v>
      </c>
    </row>
    <row r="8" spans="1:7" x14ac:dyDescent="0.2">
      <c r="A8" s="10" t="s">
        <v>26</v>
      </c>
      <c r="B8" s="18">
        <v>300</v>
      </c>
      <c r="C8" s="18" t="s">
        <v>21</v>
      </c>
      <c r="D8" s="21">
        <f t="shared" si="0"/>
        <v>0.20833333333333351</v>
      </c>
      <c r="F8" s="19" t="s">
        <v>17</v>
      </c>
      <c r="G8" s="20">
        <v>7</v>
      </c>
    </row>
    <row r="9" spans="1:7" x14ac:dyDescent="0.2">
      <c r="A9" s="10" t="s">
        <v>27</v>
      </c>
      <c r="B9" s="18">
        <v>2</v>
      </c>
      <c r="C9" s="18" t="s">
        <v>25</v>
      </c>
      <c r="D9" s="21">
        <f t="shared" si="0"/>
        <v>2</v>
      </c>
    </row>
    <row r="10" spans="1:7" x14ac:dyDescent="0.2">
      <c r="A10" s="10" t="s">
        <v>28</v>
      </c>
      <c r="B10" s="18">
        <v>50</v>
      </c>
      <c r="C10" s="18" t="s">
        <v>17</v>
      </c>
      <c r="D10" s="21">
        <f t="shared" si="0"/>
        <v>350</v>
      </c>
    </row>
    <row r="11" spans="1:7" x14ac:dyDescent="0.2">
      <c r="A11" s="10" t="s">
        <v>29</v>
      </c>
      <c r="B11" s="18">
        <v>20</v>
      </c>
      <c r="C11" s="18" t="s">
        <v>21</v>
      </c>
      <c r="D11" s="21">
        <f t="shared" si="0"/>
        <v>1.38888888888889E-2</v>
      </c>
    </row>
    <row r="12" spans="1:7" x14ac:dyDescent="0.2">
      <c r="A12" s="10" t="s">
        <v>30</v>
      </c>
      <c r="B12" s="18">
        <v>24</v>
      </c>
      <c r="C12" s="18" t="s">
        <v>23</v>
      </c>
      <c r="D12" s="21">
        <f t="shared" si="0"/>
        <v>1.0000000000000009</v>
      </c>
    </row>
    <row r="13" spans="1:7" x14ac:dyDescent="0.2">
      <c r="A13" s="10" t="s">
        <v>31</v>
      </c>
      <c r="B13" s="18">
        <v>3</v>
      </c>
      <c r="C13" s="18" t="s">
        <v>21</v>
      </c>
      <c r="D13" s="21">
        <f t="shared" si="0"/>
        <v>2.083333333333335E-3</v>
      </c>
    </row>
    <row r="14" spans="1:7" x14ac:dyDescent="0.2">
      <c r="A14" s="10" t="s">
        <v>32</v>
      </c>
      <c r="B14" s="18">
        <v>2</v>
      </c>
      <c r="C14" s="18" t="s">
        <v>25</v>
      </c>
      <c r="D14" s="21">
        <f t="shared" si="0"/>
        <v>2</v>
      </c>
    </row>
    <row r="15" spans="1:7" x14ac:dyDescent="0.2">
      <c r="A15" s="10" t="s">
        <v>33</v>
      </c>
      <c r="B15" s="18">
        <v>2</v>
      </c>
      <c r="C15" s="18" t="s">
        <v>17</v>
      </c>
      <c r="D15" s="21">
        <f t="shared" si="0"/>
        <v>14</v>
      </c>
    </row>
    <row r="16" spans="1:7" x14ac:dyDescent="0.2">
      <c r="A16" s="10" t="s">
        <v>34</v>
      </c>
      <c r="B16" s="18"/>
      <c r="C16" s="18" t="s">
        <v>21</v>
      </c>
      <c r="D16" s="21">
        <f t="shared" si="0"/>
        <v>0</v>
      </c>
    </row>
    <row r="18" spans="1:3" x14ac:dyDescent="0.2">
      <c r="A18" s="10" t="s">
        <v>35</v>
      </c>
      <c r="B18" s="18" t="s">
        <v>25</v>
      </c>
    </row>
    <row r="20" spans="1:3" x14ac:dyDescent="0.2">
      <c r="A20" s="8" t="s">
        <v>4</v>
      </c>
      <c r="B20" s="8" t="s">
        <v>5</v>
      </c>
      <c r="C20" s="8" t="s">
        <v>19</v>
      </c>
    </row>
    <row r="21" spans="1:3" x14ac:dyDescent="0.2">
      <c r="A21" s="10" t="s">
        <v>36</v>
      </c>
      <c r="B21" s="16">
        <f>B3*VLOOKUP(C3,$F$5:$G$8,2,FALSE())</f>
        <v>434</v>
      </c>
      <c r="C21" s="19" t="s">
        <v>25</v>
      </c>
    </row>
    <row r="22" spans="1:3" x14ac:dyDescent="0.2">
      <c r="A22" s="10" t="s">
        <v>7</v>
      </c>
      <c r="B22" s="16">
        <f>SUM(D7:D16)</f>
        <v>369.26597222222227</v>
      </c>
      <c r="C22" s="19" t="s">
        <v>25</v>
      </c>
    </row>
    <row r="23" spans="1:3" x14ac:dyDescent="0.2">
      <c r="A23" s="10" t="s">
        <v>6</v>
      </c>
      <c r="B23" s="16">
        <f>B21-B22</f>
        <v>64.734027777777726</v>
      </c>
      <c r="C23" s="19" t="s">
        <v>25</v>
      </c>
    </row>
    <row r="24" spans="1:3" x14ac:dyDescent="0.2">
      <c r="A24" s="10" t="s">
        <v>8</v>
      </c>
      <c r="B24" s="15">
        <f>B23/B21</f>
        <v>0.14915674603174592</v>
      </c>
    </row>
    <row r="25" spans="1:3" x14ac:dyDescent="0.2">
      <c r="A25" s="10" t="s">
        <v>37</v>
      </c>
      <c r="B25" s="14">
        <f>COUNT(B7:B16)</f>
        <v>9</v>
      </c>
    </row>
    <row r="26" spans="1:3" x14ac:dyDescent="0.2">
      <c r="A26" s="10" t="s">
        <v>10</v>
      </c>
      <c r="B26" s="16">
        <f>IFERROR(B23/B25,0)</f>
        <v>7.1926697530864141</v>
      </c>
      <c r="C26" s="19" t="s">
        <v>25</v>
      </c>
    </row>
    <row r="27" spans="1:3" x14ac:dyDescent="0.2">
      <c r="A27" s="10" t="s">
        <v>11</v>
      </c>
      <c r="B27" s="16">
        <f>B26+B28</f>
        <v>48.222222222222221</v>
      </c>
      <c r="C27" s="19" t="s">
        <v>25</v>
      </c>
    </row>
    <row r="28" spans="1:3" x14ac:dyDescent="0.2">
      <c r="A28" s="10" t="s">
        <v>12</v>
      </c>
      <c r="B28" s="16">
        <f>IFERROR(B22/B25,0)</f>
        <v>41.029552469135808</v>
      </c>
      <c r="C28" s="19" t="s">
        <v>25</v>
      </c>
    </row>
    <row r="29" spans="1:3" x14ac:dyDescent="0.2">
      <c r="A29" s="10" t="s">
        <v>13</v>
      </c>
      <c r="B29" s="15">
        <f>B22/B21</f>
        <v>0.85084325396825411</v>
      </c>
    </row>
  </sheetData>
  <mergeCells count="3">
    <mergeCell ref="A1:D1"/>
    <mergeCell ref="F3:G3"/>
    <mergeCell ref="B5:C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topLeftCell="A4" zoomScaleNormal="100" workbookViewId="0">
      <selection activeCell="E8" sqref="E8"/>
    </sheetView>
  </sheetViews>
  <sheetFormatPr baseColWidth="10" defaultColWidth="8.6640625" defaultRowHeight="15" x14ac:dyDescent="0.2"/>
  <cols>
    <col min="1" max="1" width="26" customWidth="1"/>
    <col min="2" max="2" width="14" customWidth="1"/>
    <col min="3" max="3" width="18" customWidth="1"/>
    <col min="4" max="4" width="3" customWidth="1"/>
  </cols>
  <sheetData>
    <row r="1" spans="1:8" ht="25.5" customHeight="1" x14ac:dyDescent="0.2">
      <c r="A1" s="7" t="s">
        <v>38</v>
      </c>
      <c r="B1" s="7"/>
      <c r="C1" s="7"/>
      <c r="D1" s="7"/>
      <c r="E1" s="7"/>
      <c r="F1" s="7"/>
      <c r="G1" s="7"/>
      <c r="H1" s="7"/>
    </row>
    <row r="3" spans="1:8" x14ac:dyDescent="0.2">
      <c r="A3" s="10" t="s">
        <v>39</v>
      </c>
      <c r="B3" s="22">
        <f>'b) Periodo de control'!B29</f>
        <v>0.85084325396825411</v>
      </c>
      <c r="C3" s="23"/>
    </row>
    <row r="4" spans="1:8" x14ac:dyDescent="0.2">
      <c r="A4" s="10" t="s">
        <v>40</v>
      </c>
      <c r="B4" s="22"/>
      <c r="C4" s="23"/>
    </row>
    <row r="5" spans="1:8" x14ac:dyDescent="0.2">
      <c r="A5" s="10" t="s">
        <v>41</v>
      </c>
      <c r="B5" s="21">
        <f>IF(B4="",B3,B4)</f>
        <v>0.85084325396825411</v>
      </c>
    </row>
    <row r="7" spans="1:8" x14ac:dyDescent="0.2">
      <c r="A7" s="8" t="s">
        <v>42</v>
      </c>
      <c r="B7" s="8" t="s">
        <v>43</v>
      </c>
      <c r="C7" s="8" t="s">
        <v>44</v>
      </c>
    </row>
    <row r="8" spans="1:8" x14ac:dyDescent="0.2">
      <c r="A8" s="18">
        <v>0</v>
      </c>
      <c r="B8" s="21">
        <f t="shared" ref="B8:B18" si="0">EXP(-$B$5*A8)</f>
        <v>1</v>
      </c>
      <c r="C8" s="21">
        <f t="shared" ref="C8:C18" si="1">1-B8</f>
        <v>0</v>
      </c>
    </row>
    <row r="9" spans="1:8" x14ac:dyDescent="0.2">
      <c r="A9" s="18">
        <v>1</v>
      </c>
      <c r="B9" s="21">
        <f t="shared" si="0"/>
        <v>0.42705466453108282</v>
      </c>
      <c r="C9" s="21">
        <f t="shared" si="1"/>
        <v>0.57294533546891713</v>
      </c>
    </row>
    <row r="10" spans="1:8" x14ac:dyDescent="0.2">
      <c r="A10" s="18">
        <v>2</v>
      </c>
      <c r="B10" s="21">
        <f t="shared" si="0"/>
        <v>0.18237568649775565</v>
      </c>
      <c r="C10" s="21">
        <f t="shared" si="1"/>
        <v>0.81762431350224429</v>
      </c>
    </row>
    <row r="11" spans="1:8" x14ac:dyDescent="0.2">
      <c r="A11" s="18">
        <v>3</v>
      </c>
      <c r="B11" s="21">
        <f t="shared" si="0"/>
        <v>7.7884387615924977E-2</v>
      </c>
      <c r="C11" s="21">
        <f t="shared" si="1"/>
        <v>0.92211561238407502</v>
      </c>
    </row>
    <row r="12" spans="1:8" x14ac:dyDescent="0.2">
      <c r="A12" s="18">
        <v>4</v>
      </c>
      <c r="B12" s="21">
        <f t="shared" si="0"/>
        <v>3.3260891025527657E-2</v>
      </c>
      <c r="C12" s="21">
        <f t="shared" si="1"/>
        <v>0.96673910897447235</v>
      </c>
    </row>
    <row r="13" spans="1:8" x14ac:dyDescent="0.2">
      <c r="A13" s="18">
        <v>5</v>
      </c>
      <c r="B13" s="21">
        <f t="shared" si="0"/>
        <v>1.4204218658911614E-2</v>
      </c>
      <c r="C13" s="21">
        <f t="shared" si="1"/>
        <v>0.98579578134108836</v>
      </c>
    </row>
    <row r="14" spans="1:8" x14ac:dyDescent="0.2">
      <c r="A14" s="18">
        <v>6</v>
      </c>
      <c r="B14" s="21">
        <f t="shared" si="0"/>
        <v>6.0659778343076483E-3</v>
      </c>
      <c r="C14" s="21">
        <f t="shared" si="1"/>
        <v>0.99393402216569238</v>
      </c>
    </row>
    <row r="15" spans="1:8" x14ac:dyDescent="0.2">
      <c r="A15" s="18">
        <v>7</v>
      </c>
      <c r="B15" s="21">
        <f t="shared" si="0"/>
        <v>2.5905041290832354E-3</v>
      </c>
      <c r="C15" s="21">
        <f t="shared" si="1"/>
        <v>0.99740949587091676</v>
      </c>
    </row>
    <row r="16" spans="1:8" x14ac:dyDescent="0.2">
      <c r="A16" s="18">
        <v>8</v>
      </c>
      <c r="B16" s="21">
        <f t="shared" si="0"/>
        <v>1.1062868718120262E-3</v>
      </c>
      <c r="C16" s="21">
        <f t="shared" si="1"/>
        <v>0.99889371312818798</v>
      </c>
    </row>
    <row r="17" spans="1:3" x14ac:dyDescent="0.2">
      <c r="A17" s="18">
        <v>9</v>
      </c>
      <c r="B17" s="21">
        <f t="shared" si="0"/>
        <v>4.7244496891682598E-4</v>
      </c>
      <c r="C17" s="21">
        <f t="shared" si="1"/>
        <v>0.99952755503108315</v>
      </c>
    </row>
    <row r="18" spans="1:3" x14ac:dyDescent="0.2">
      <c r="A18" s="18">
        <v>10</v>
      </c>
      <c r="B18" s="21">
        <f t="shared" si="0"/>
        <v>2.0175982771017284E-4</v>
      </c>
      <c r="C18" s="21">
        <f t="shared" si="1"/>
        <v>0.9997982401722898</v>
      </c>
    </row>
  </sheetData>
  <mergeCells count="1">
    <mergeCell ref="A1:H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a) Indicadores básicos</vt:lpstr>
      <vt:lpstr>b) Periodo de control</vt:lpstr>
      <vt:lpstr>c) Curva de fiabilidad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Sanz García</dc:creator>
  <cp:lastModifiedBy>Jaime S</cp:lastModifiedBy>
  <dcterms:created xsi:type="dcterms:W3CDTF">2026-04-26T16:07:35Z</dcterms:created>
  <dcterms:modified xsi:type="dcterms:W3CDTF">2026-04-26T16:20:51Z</dcterms:modified>
</cp:coreProperties>
</file>